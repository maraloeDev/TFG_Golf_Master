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filterPrivacy="1" codeName="ThisWorkbook"/>
  <xr:revisionPtr revIDLastSave="0" documentId="8_{E0EE4A1B-6044-4C57-B724-49AF89825C97}" xr6:coauthVersionLast="47" xr6:coauthVersionMax="47" xr10:uidLastSave="{00000000-0000-0000-0000-000000000000}"/>
  <bookViews>
    <workbookView xWindow="-120" yWindow="-120" windowWidth="29040" windowHeight="15720" xr2:uid="{00000000-000D-0000-FFFF-FFFF00000000}"/>
  </bookViews>
  <sheets>
    <sheet name="ProjectSchedule" sheetId="11" r:id="rId1"/>
    <sheet name="Acerca de" sheetId="12" r:id="rId2"/>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7" i="11" l="1"/>
  <c r="H11" i="11"/>
  <c r="H12" i="11"/>
  <c r="H13" i="11"/>
  <c r="H7" i="11"/>
  <c r="E22" i="11" l="1"/>
  <c r="F22" i="11" l="1"/>
  <c r="H22" i="11" s="1"/>
  <c r="I5" i="11"/>
  <c r="H33" i="11"/>
  <c r="H32" i="11"/>
  <c r="H31" i="11"/>
  <c r="H30" i="11"/>
  <c r="H29" i="11"/>
  <c r="H28" i="11"/>
  <c r="H26" i="11"/>
  <c r="H21" i="11"/>
  <c r="H20" i="11"/>
  <c r="H14" i="11"/>
  <c r="H8" i="11"/>
  <c r="H9" i="11" l="1"/>
  <c r="F23" i="11"/>
  <c r="E25" i="11"/>
  <c r="I6" i="11"/>
  <c r="H27" i="11" l="1"/>
  <c r="F25" i="11"/>
  <c r="H25" i="11" s="1"/>
  <c r="E24" i="11"/>
  <c r="H10" i="11"/>
  <c r="H15" i="11"/>
  <c r="J5" i="11"/>
  <c r="K5" i="11" s="1"/>
  <c r="L5" i="11" s="1"/>
  <c r="M5" i="11" s="1"/>
  <c r="N5" i="11" s="1"/>
  <c r="O5" i="11" s="1"/>
  <c r="P5" i="11" s="1"/>
  <c r="P4" i="11" s="1"/>
  <c r="I4" i="11"/>
  <c r="H23" i="11" l="1"/>
  <c r="F24" i="11"/>
  <c r="H24" i="11" s="1"/>
  <c r="H16" i="11"/>
  <c r="Q5" i="11"/>
  <c r="R5" i="11" s="1"/>
  <c r="S5" i="11" s="1"/>
  <c r="T5" i="11" s="1"/>
  <c r="U5" i="11" s="1"/>
  <c r="V5" i="11" s="1"/>
  <c r="W5" i="11" s="1"/>
  <c r="J6" i="11"/>
  <c r="H19" i="11" l="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AZ5" i="11" l="1"/>
  <c r="AY4" i="11"/>
  <c r="S6" i="11" s="1"/>
  <c r="AX6" i="11"/>
  <c r="T6" i="11"/>
  <c r="AY6" i="11" l="1"/>
  <c r="BA5" i="11"/>
  <c r="AZ6" i="11"/>
  <c r="U6" i="11"/>
  <c r="BA6" i="11" l="1"/>
  <c r="BB5" i="11"/>
  <c r="V6" i="11"/>
  <c r="BB6" i="11" l="1"/>
  <c r="BC5" i="11"/>
  <c r="W6" i="11"/>
  <c r="BC6" i="11" l="1"/>
  <c r="BD5" i="11"/>
  <c r="X6" i="11"/>
  <c r="BE5" i="11" l="1"/>
  <c r="BD6" i="11"/>
  <c r="Y6" i="11"/>
  <c r="BE6" i="11" l="1"/>
  <c r="BF5" i="11"/>
  <c r="BF6" i="11" l="1"/>
  <c r="BG5" i="11"/>
  <c r="BF4" i="11"/>
  <c r="Z6" i="11" s="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<sst xmlns="http://schemas.openxmlformats.org/spreadsheetml/2006/main" count="75" uniqueCount="61">
  <si>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</si>
  <si>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</si>
  <si>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</si>
  <si>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</si>
  <si>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</si>
  <si>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</si>
  <si>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</si>
  <si>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</si>
  <si>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</si>
  <si>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</si>
  <si>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</si>
  <si>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</si>
  <si>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</si>
  <si>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</si>
  <si>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TÍTULO DEL PROYECTO</t>
  </si>
  <si>
    <t>Nombre de la compañía</t>
  </si>
  <si>
    <t>Responsable del proyecto</t>
  </si>
  <si>
    <t>TAREA</t>
  </si>
  <si>
    <t>Tarea 1</t>
  </si>
  <si>
    <t>Tarea 2</t>
  </si>
  <si>
    <t>Tarea 3</t>
  </si>
  <si>
    <t>Tarea 4</t>
  </si>
  <si>
    <t>Tarea 5</t>
  </si>
  <si>
    <t>Título de la fase 4</t>
  </si>
  <si>
    <t>Inserte nuevas filas ENCIMA de ésta</t>
  </si>
  <si>
    <t>Inicio del proyecto:</t>
  </si>
  <si>
    <t>Semana para mostrar:</t>
  </si>
  <si>
    <t>PROGRESO</t>
  </si>
  <si>
    <t>INICIO</t>
  </si>
  <si>
    <t>fecha</t>
  </si>
  <si>
    <t>FIN</t>
  </si>
  <si>
    <t>DÍAS</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</si>
  <si>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</si>
  <si>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</si>
  <si>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</si>
  <si>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</si>
  <si>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</si>
  <si>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</si>
  <si>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</si>
  <si>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</si>
  <si>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</si>
  <si>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</si>
  <si>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</si>
  <si>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</si>
  <si>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</si>
  <si>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</si>
  <si>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</si>
  <si>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Planificación</t>
  </si>
  <si>
    <t>Documentación</t>
  </si>
  <si>
    <t>Digrama entidad relación</t>
  </si>
  <si>
    <t>Creacion bases de datos</t>
  </si>
  <si>
    <t>Arquitectura</t>
  </si>
  <si>
    <t>Creacion de servicios</t>
  </si>
  <si>
    <t>Ejecución</t>
  </si>
  <si>
    <t>Logica</t>
  </si>
  <si>
    <t xml:space="preserve">Diseño de pantallas </t>
  </si>
  <si>
    <t>Finalización del proyecto</t>
  </si>
  <si>
    <t>Comprobacion de errores</t>
  </si>
  <si>
    <t>DIAS</t>
  </si>
  <si>
    <t>Resolución errores</t>
  </si>
  <si>
    <t>TFG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</si>
</sst>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d\,\ m/d/yyyy"/>
    <numFmt numFmtId="167" formatCode="[$-C0A]d\ &quot;de&quot;\ mmmm\ &quot;de&quot;\ yyyy;@"/>
    <numFmt numFmtId="168" formatCode="d\-m\-yy;@"/>
    <numFmt numFmtId="169"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8" fontId="0" fillId="8" borderId="2" xfId="0" applyNumberFormat="1" applyFill="1" applyBorder="1" applyAlignment="1">
      <alignment horizontal="center" vertical="center"/>
    </xf>
    <xf numFmtId="168" fontId="5" fillId="8" borderId="2" xfId="0" applyNumberFormat="1" applyFont="1" applyFill="1" applyBorder="1" applyAlignment="1">
      <alignment horizontal="center" vertical="center"/>
    </xf>
    <xf numFmtId="168" fontId="0" fillId="9" borderId="2" xfId="0" applyNumberFormat="1" applyFill="1" applyBorder="1" applyAlignment="1">
      <alignment horizontal="center" vertical="center"/>
    </xf>
    <xf numFmtId="168" fontId="5" fillId="9" borderId="2" xfId="0" applyNumberFormat="1" applyFont="1" applyFill="1" applyBorder="1" applyAlignment="1">
      <alignment horizontal="center" vertical="center"/>
    </xf>
    <xf numFmtId="168" fontId="0" fillId="6" borderId="2" xfId="0" applyNumberFormat="1" applyFill="1" applyBorder="1" applyAlignment="1">
      <alignment horizontal="center" vertical="center"/>
    </xf>
    <xf numFmtId="168" fontId="5" fillId="6" borderId="2" xfId="0" applyNumberFormat="1" applyFont="1" applyFill="1" applyBorder="1" applyAlignment="1">
      <alignment horizontal="center" vertical="center"/>
    </xf>
    <xf numFmtId="168" fontId="9" fillId="11" borderId="2" xfId="10" applyFill="1">
      <alignment horizontal="center" vertical="center"/>
    </xf>
    <xf numFmtId="168" fontId="0" fillId="5" borderId="2" xfId="0" applyNumberFormat="1" applyFill="1" applyBorder="1" applyAlignment="1">
      <alignment horizontal="center" vertical="center"/>
    </xf>
    <xf numFmtId="168" fontId="5" fillId="5" borderId="2" xfId="0" applyNumberFormat="1" applyFont="1" applyFill="1" applyBorder="1" applyAlignment="1">
      <alignment horizontal="center" vertical="center"/>
    </xf>
    <xf numFmtId="168" fontId="4" fillId="2" borderId="2" xfId="0" applyNumberFormat="1" applyFont="1" applyFill="1" applyBorder="1" applyAlignment="1">
      <alignment horizontal="left" vertical="center"/>
    </xf>
    <xf numFmtId="168" fontId="5" fillId="2" borderId="2" xfId="0" applyNumberFormat="1" applyFont="1" applyFill="1" applyBorder="1" applyAlignment="1">
      <alignment horizontal="center" vertical="center"/>
    </xf>
    <xf numFmtId="169" fontId="11" fillId="7" borderId="6" xfId="0" applyNumberFormat="1" applyFont="1" applyFill="1" applyBorder="1" applyAlignment="1">
      <alignment horizontal="center" vertical="center"/>
    </xf>
    <xf numFmtId="169" fontId="11" fillId="7" borderId="0" xfId="0" applyNumberFormat="1" applyFont="1" applyFill="1" applyAlignment="1">
      <alignment horizontal="center" vertical="center"/>
    </xf>
    <xf numFmtId="169" fontId="11" fillId="7" borderId="7" xfId="0" applyNumberFormat="1" applyFont="1" applyFill="1" applyBorder="1" applyAlignment="1">
      <alignment horizontal="center" vertical="center"/>
    </xf>
    <xf numFmtId="168" fontId="9" fillId="3" borderId="2" xfId="10" applyFill="1">
      <alignment horizontal="center" vertical="center"/>
    </xf>
    <xf numFmtId="168" fontId="9" fillId="4" borderId="2" xfId="10" applyFill="1">
      <alignment horizontal="center" vertical="center"/>
    </xf>
    <xf numFmtId="168" fontId="9" fillId="10" borderId="2" xfId="10" applyFill="1">
      <alignment horizontal="center" vertical="center"/>
    </xf>
    <xf numFmtId="168" fontId="9" fillId="0" borderId="2" xfId="10">
      <alignment horizontal="center" vertical="center"/>
    </xf>
    <xf numFmtId="0" fontId="9" fillId="0" borderId="0" xfId="8">
      <alignment horizontal="right" indent="1"/>
    </xf>
    <xf numFmtId="0" fontId="9" fillId="0" borderId="7" xfId="8" applyBorder="1">
      <alignment horizontal="right" indent="1"/>
    </xf>
    <xf numFmtId="167" fontId="0" fillId="7" borderId="4" xfId="0" applyNumberFormat="1" applyFill="1" applyBorder="1" applyAlignment="1">
      <alignment horizontal="left" vertical="center" wrapText="1" indent="1"/>
    </xf>
    <xf numFmtId="167" fontId="0" fillId="7" borderId="1" xfId="0" applyNumberFormat="1" applyFill="1" applyBorder="1" applyAlignment="1">
      <alignment horizontal="left" vertical="center" wrapText="1" indent="1"/>
    </xf>
    <xf numFmtId="167" fontId="0" fillId="7" borderId="5" xfId="0" applyNumberFormat="1" applyFill="1" applyBorder="1" applyAlignment="1">
      <alignment horizontal="left" vertical="center" wrapText="1" indent="1"/>
    </xf>
    <xf numFmtId="166" fontId="9" fillId="0" borderId="3" xfId="9">
      <alignment horizontal="center" vertical="center"/>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pane ySplit="6" topLeftCell="A8" activePane="bottomLeft" state="frozen"/>
      <selection pane="bottomLeft" activeCell="N34" sqref="N34"/>
    </sheetView>
  </sheetViews>
  <sheetFormatPr baseColWidth="10" defaultColWidth="9.140625" defaultRowHeight="30" customHeight="1" x14ac:dyDescent="0.25"/>
  <cols>
    <col min="1" max="1" width="2.7109375" style="45" customWidth="1"/>
    <col min="2" max="2" width="29.42578125" customWidth="1"/>
    <col min="3" max="3" width="30.7109375" customWidth="1"/>
    <col min="4" max="4" width="10.7109375" customWidth="1"/>
    <col min="5" max="5" width="10.42578125" style="5" customWidth="1"/>
    <col min="6" max="6" width="10.42578125" customWidth="1"/>
    <col min="7" max="7" width="2.7109375" customWidth="1"/>
    <col min="8" max="8" width="9.42578125" hidden="1" customWidth="1"/>
    <col min="9" max="21" width="3.28515625" customWidth="1"/>
    <col min="22" max="22" width="4.85546875" customWidth="1"/>
    <col min="23" max="27" width="3.28515625" customWidth="1"/>
    <col min="28" max="28" width="5.42578125" customWidth="1"/>
    <col min="29" max="35" width="3.28515625" customWidth="1"/>
    <col min="36" max="36" width="6.42578125" customWidth="1"/>
    <col min="37" max="37" width="3.28515625" customWidth="1"/>
    <col min="38" max="38" width="6.5703125" customWidth="1"/>
    <col min="39" max="64" width="3.28515625" customWidth="1"/>
    <col min="69" max="70" width="10.28515625"/>
  </cols>
  <sheetData>
    <row r="1" spans="1:64" ht="30" hidden="1" customHeight="1" x14ac:dyDescent="0.45">
      <c r="A1" s="46" t="s">
        <v>0</v>
      </c>
      <c r="B1" s="49" t="s">
        <v>14</v>
      </c>
      <c r="C1" s="1"/>
      <c r="D1" s="2"/>
      <c r="E1" s="4"/>
      <c r="F1" s="34"/>
      <c r="H1" s="2"/>
      <c r="I1" s="67" t="s">
        <v>32</v>
      </c>
    </row>
    <row r="2" spans="1:64" ht="30" hidden="1" customHeight="1" x14ac:dyDescent="0.3">
      <c r="A2" s="45" t="s">
        <v>1</v>
      </c>
      <c r="B2" s="50" t="s">
        <v>15</v>
      </c>
      <c r="I2" s="68" t="s">
        <v>33</v>
      </c>
    </row>
    <row r="3" spans="1:64" ht="30" hidden="1" customHeight="1" x14ac:dyDescent="0.25">
      <c r="A3" s="45" t="s">
        <v>2</v>
      </c>
      <c r="B3" s="51" t="s">
        <v>16</v>
      </c>
      <c r="C3" s="88" t="s">
        <v>25</v>
      </c>
      <c r="D3" s="89"/>
      <c r="E3" s="93">
        <v>45894</v>
      </c>
      <c r="F3" s="93"/>
    </row>
    <row r="4" spans="1:64" ht="30" hidden="1" customHeight="1" x14ac:dyDescent="0.25">
      <c r="A4" s="46" t="s">
        <v>3</v>
      </c>
      <c r="C4" s="88" t="s">
        <v>26</v>
      </c>
      <c r="D4" s="89"/>
      <c r="E4" s="7">
        <v>1</v>
      </c>
      <c r="I4" s="90">
        <f>I5</f>
        <v>45894</v>
      </c>
      <c r="J4" s="91"/>
      <c r="K4" s="91"/>
      <c r="L4" s="91"/>
      <c r="M4" s="91"/>
      <c r="N4" s="91"/>
      <c r="O4" s="92"/>
      <c r="P4" s="90">
        <f>P5</f>
        <v>45901</v>
      </c>
      <c r="Q4" s="91"/>
      <c r="R4" s="91"/>
      <c r="S4" s="91"/>
      <c r="T4" s="91"/>
      <c r="U4" s="91"/>
      <c r="V4" s="92"/>
      <c r="W4" s="90">
        <f>W5</f>
        <v>45908</v>
      </c>
      <c r="X4" s="91"/>
      <c r="Y4" s="91"/>
      <c r="Z4" s="91"/>
      <c r="AA4" s="91"/>
      <c r="AB4" s="91"/>
      <c r="AC4" s="92"/>
      <c r="AD4" s="90">
        <f>AD5</f>
        <v>45915</v>
      </c>
      <c r="AE4" s="91"/>
      <c r="AF4" s="91"/>
      <c r="AG4" s="91"/>
      <c r="AH4" s="91"/>
      <c r="AI4" s="91"/>
      <c r="AJ4" s="92"/>
      <c r="AK4" s="90">
        <f>AK5</f>
        <v>45922</v>
      </c>
      <c r="AL4" s="91"/>
      <c r="AM4" s="91"/>
      <c r="AN4" s="91"/>
      <c r="AO4" s="91"/>
      <c r="AP4" s="91"/>
      <c r="AQ4" s="92"/>
      <c r="AR4" s="90">
        <f>AR5</f>
        <v>45929</v>
      </c>
      <c r="AS4" s="91"/>
      <c r="AT4" s="91"/>
      <c r="AU4" s="91"/>
      <c r="AV4" s="91"/>
      <c r="AW4" s="91"/>
      <c r="AX4" s="92"/>
      <c r="AY4" s="90">
        <f>AY5</f>
        <v>45936</v>
      </c>
      <c r="AZ4" s="91"/>
      <c r="BA4" s="91"/>
      <c r="BB4" s="91"/>
      <c r="BC4" s="91"/>
      <c r="BD4" s="91"/>
      <c r="BE4" s="92"/>
      <c r="BF4" s="90">
        <f>BF5</f>
        <v>45943</v>
      </c>
      <c r="BG4" s="91"/>
      <c r="BH4" s="91"/>
      <c r="BI4" s="91"/>
      <c r="BJ4" s="91"/>
      <c r="BK4" s="91"/>
      <c r="BL4" s="92"/>
    </row>
    <row r="5" spans="1:64" ht="15" hidden="1" customHeight="1" x14ac:dyDescent="0.25">
      <c r="A5" s="46" t="s">
        <v>4</v>
      </c>
      <c r="B5" s="66"/>
      <c r="C5" s="66"/>
      <c r="D5" s="66"/>
      <c r="E5" s="66"/>
      <c r="F5" s="66"/>
      <c r="G5" s="66"/>
      <c r="I5" s="81">
        <f>Inicio_del_proyecto-WEEKDAY(Inicio_del_proyecto,1)+2+7*(Semana_para_mostrar-1)</f>
        <v>45894</v>
      </c>
      <c r="J5" s="82">
        <f>I5+1</f>
        <v>45895</v>
      </c>
      <c r="K5" s="82">
        <f t="shared" ref="K5:AX5" si="0">J5+1</f>
        <v>45896</v>
      </c>
      <c r="L5" s="82">
        <f t="shared" si="0"/>
        <v>45897</v>
      </c>
      <c r="M5" s="82">
        <f t="shared" si="0"/>
        <v>45898</v>
      </c>
      <c r="N5" s="82">
        <f t="shared" si="0"/>
        <v>45899</v>
      </c>
      <c r="O5" s="83">
        <f t="shared" si="0"/>
        <v>45900</v>
      </c>
      <c r="P5" s="81">
        <f>O5+1</f>
        <v>45901</v>
      </c>
      <c r="Q5" s="82">
        <f>P5+1</f>
        <v>45902</v>
      </c>
      <c r="R5" s="82">
        <f t="shared" si="0"/>
        <v>45903</v>
      </c>
      <c r="S5" s="82">
        <f t="shared" si="0"/>
        <v>45904</v>
      </c>
      <c r="T5" s="82">
        <f t="shared" si="0"/>
        <v>45905</v>
      </c>
      <c r="U5" s="82">
        <f t="shared" si="0"/>
        <v>45906</v>
      </c>
      <c r="V5" s="83">
        <f t="shared" si="0"/>
        <v>45907</v>
      </c>
      <c r="W5" s="81">
        <f>V5+1</f>
        <v>45908</v>
      </c>
      <c r="X5" s="82">
        <f>W5+1</f>
        <v>45909</v>
      </c>
      <c r="Y5" s="82">
        <f t="shared" si="0"/>
        <v>45910</v>
      </c>
      <c r="Z5" s="82">
        <f t="shared" si="0"/>
        <v>45911</v>
      </c>
      <c r="AA5" s="82">
        <f t="shared" si="0"/>
        <v>45912</v>
      </c>
      <c r="AB5" s="82">
        <f t="shared" si="0"/>
        <v>45913</v>
      </c>
      <c r="AC5" s="83">
        <f t="shared" si="0"/>
        <v>45914</v>
      </c>
      <c r="AD5" s="81">
        <f>AC5+1</f>
        <v>45915</v>
      </c>
      <c r="AE5" s="82">
        <f>AD5+1</f>
        <v>45916</v>
      </c>
      <c r="AF5" s="82">
        <f t="shared" si="0"/>
        <v>45917</v>
      </c>
      <c r="AG5" s="82">
        <f t="shared" si="0"/>
        <v>45918</v>
      </c>
      <c r="AH5" s="82">
        <f t="shared" si="0"/>
        <v>45919</v>
      </c>
      <c r="AI5" s="82">
        <f t="shared" si="0"/>
        <v>45920</v>
      </c>
      <c r="AJ5" s="83">
        <f t="shared" si="0"/>
        <v>45921</v>
      </c>
      <c r="AK5" s="81">
        <f>AJ5+1</f>
        <v>45922</v>
      </c>
      <c r="AL5" s="82">
        <f>AK5+1</f>
        <v>45923</v>
      </c>
      <c r="AM5" s="82">
        <f t="shared" si="0"/>
        <v>45924</v>
      </c>
      <c r="AN5" s="82">
        <f t="shared" si="0"/>
        <v>45925</v>
      </c>
      <c r="AO5" s="82">
        <f t="shared" si="0"/>
        <v>45926</v>
      </c>
      <c r="AP5" s="82">
        <f t="shared" si="0"/>
        <v>45927</v>
      </c>
      <c r="AQ5" s="83">
        <f t="shared" si="0"/>
        <v>45928</v>
      </c>
      <c r="AR5" s="81">
        <f>AQ5+1</f>
        <v>45929</v>
      </c>
      <c r="AS5" s="82">
        <f>AR5+1</f>
        <v>45930</v>
      </c>
      <c r="AT5" s="82">
        <f t="shared" si="0"/>
        <v>45931</v>
      </c>
      <c r="AU5" s="82">
        <f t="shared" si="0"/>
        <v>45932</v>
      </c>
      <c r="AV5" s="82">
        <f t="shared" si="0"/>
        <v>45933</v>
      </c>
      <c r="AW5" s="82">
        <f t="shared" si="0"/>
        <v>45934</v>
      </c>
      <c r="AX5" s="83">
        <f t="shared" si="0"/>
        <v>45935</v>
      </c>
      <c r="AY5" s="81">
        <f>AX5+1</f>
        <v>45936</v>
      </c>
      <c r="AZ5" s="82">
        <f>AY5+1</f>
        <v>45937</v>
      </c>
      <c r="BA5" s="82">
        <f t="shared" ref="BA5:BE5" si="1">AZ5+1</f>
        <v>45938</v>
      </c>
      <c r="BB5" s="82">
        <f t="shared" si="1"/>
        <v>45939</v>
      </c>
      <c r="BC5" s="82">
        <f t="shared" si="1"/>
        <v>45940</v>
      </c>
      <c r="BD5" s="82">
        <f t="shared" si="1"/>
        <v>45941</v>
      </c>
      <c r="BE5" s="83">
        <f t="shared" si="1"/>
        <v>45942</v>
      </c>
      <c r="BF5" s="81">
        <f>BE5+1</f>
        <v>45943</v>
      </c>
      <c r="BG5" s="82">
        <f>BF5+1</f>
        <v>45944</v>
      </c>
      <c r="BH5" s="82">
        <f t="shared" ref="BH5:BL5" si="2">BG5+1</f>
        <v>45945</v>
      </c>
      <c r="BI5" s="82">
        <f t="shared" si="2"/>
        <v>45946</v>
      </c>
      <c r="BJ5" s="82">
        <f t="shared" si="2"/>
        <v>45947</v>
      </c>
      <c r="BK5" s="82">
        <f t="shared" si="2"/>
        <v>45948</v>
      </c>
      <c r="BL5" s="83">
        <f t="shared" si="2"/>
        <v>45949</v>
      </c>
    </row>
    <row r="6" spans="1:64" ht="30" customHeight="1" thickBot="1" x14ac:dyDescent="0.3">
      <c r="A6" s="46" t="s">
        <v>5</v>
      </c>
      <c r="B6" s="8" t="s">
        <v>17</v>
      </c>
      <c r="C6" s="9" t="s">
        <v>58</v>
      </c>
      <c r="D6" s="9" t="s">
        <v>27</v>
      </c>
      <c r="E6" s="9" t="s">
        <v>28</v>
      </c>
      <c r="F6" s="9" t="s">
        <v>30</v>
      </c>
      <c r="G6" s="9"/>
      <c r="H6" s="9" t="s">
        <v>31</v>
      </c>
      <c r="I6" s="10" t="str">
        <f t="shared" ref="I6" si="3">LEFT(TEXT(I5,"ddd"),1)</f>
        <v>l</v>
      </c>
      <c r="J6" s="10" t="str">
        <f t="shared" ref="J6:AR6" si="4">LEFT(TEXT(J5,"ddd"),1)</f>
        <v>m</v>
      </c>
      <c r="K6" s="10" t="str">
        <f t="shared" si="4"/>
        <v>m</v>
      </c>
      <c r="L6" s="10" t="str">
        <f t="shared" si="4"/>
        <v>j</v>
      </c>
      <c r="M6" s="10" t="str">
        <f t="shared" si="4"/>
        <v>v</v>
      </c>
      <c r="N6" s="10" t="str">
        <f t="shared" si="4"/>
        <v>s</v>
      </c>
      <c r="O6" s="10" t="str">
        <f t="shared" si="4"/>
        <v>d</v>
      </c>
      <c r="P6" s="10" t="str">
        <f t="shared" si="4"/>
        <v>l</v>
      </c>
      <c r="Q6" s="10" t="str">
        <f t="shared" si="4"/>
        <v>m</v>
      </c>
      <c r="R6" s="10" t="str">
        <f t="shared" si="4"/>
        <v>m</v>
      </c>
      <c r="S6" s="10" t="str">
        <f t="shared" si="4"/>
        <v>j</v>
      </c>
      <c r="T6" s="10" t="str">
        <f t="shared" si="4"/>
        <v>v</v>
      </c>
      <c r="U6" s="10" t="str">
        <f t="shared" si="4"/>
        <v>s</v>
      </c>
      <c r="V6" s="10" t="str">
        <f t="shared" si="4"/>
        <v>d</v>
      </c>
      <c r="W6" s="10" t="str">
        <f t="shared" si="4"/>
        <v>l</v>
      </c>
      <c r="X6" s="10" t="str">
        <f t="shared" si="4"/>
        <v>m</v>
      </c>
      <c r="Y6" s="10" t="str">
        <f t="shared" si="4"/>
        <v>m</v>
      </c>
      <c r="Z6" s="10" t="str">
        <f t="shared" si="4"/>
        <v>j</v>
      </c>
      <c r="AA6" s="10" t="str">
        <f t="shared" si="4"/>
        <v>v</v>
      </c>
      <c r="AB6" s="10" t="str">
        <f t="shared" si="4"/>
        <v>s</v>
      </c>
      <c r="AC6" s="10" t="str">
        <f t="shared" si="4"/>
        <v>d</v>
      </c>
      <c r="AD6" s="10" t="str">
        <f t="shared" si="4"/>
        <v>l</v>
      </c>
      <c r="AE6" s="10" t="str">
        <f t="shared" si="4"/>
        <v>m</v>
      </c>
      <c r="AF6" s="10" t="str">
        <f t="shared" si="4"/>
        <v>m</v>
      </c>
      <c r="AG6" s="10" t="str">
        <f t="shared" si="4"/>
        <v>j</v>
      </c>
      <c r="AH6" s="10" t="str">
        <f t="shared" si="4"/>
        <v>v</v>
      </c>
      <c r="AI6" s="10" t="str">
        <f t="shared" si="4"/>
        <v>s</v>
      </c>
      <c r="AJ6" s="10" t="str">
        <f t="shared" si="4"/>
        <v>d</v>
      </c>
      <c r="AK6" s="10" t="str">
        <f t="shared" si="4"/>
        <v>l</v>
      </c>
      <c r="AL6" s="10" t="str">
        <f t="shared" si="4"/>
        <v>m</v>
      </c>
      <c r="AM6" s="10" t="str">
        <f t="shared" si="4"/>
        <v>m</v>
      </c>
      <c r="AN6" s="10" t="str">
        <f t="shared" si="4"/>
        <v>j</v>
      </c>
      <c r="AO6" s="10" t="str">
        <f t="shared" si="4"/>
        <v>v</v>
      </c>
      <c r="AP6" s="10" t="str">
        <f t="shared" si="4"/>
        <v>s</v>
      </c>
      <c r="AQ6" s="10" t="str">
        <f t="shared" si="4"/>
        <v>d</v>
      </c>
      <c r="AR6" s="10" t="str">
        <f t="shared" si="4"/>
        <v>l</v>
      </c>
      <c r="AS6" s="10" t="str">
        <f t="shared" ref="AS6:BL6" si="5">LEFT(TEXT(AS5,"ddd"),1)</f>
        <v>m</v>
      </c>
      <c r="AT6" s="10" t="str">
        <f t="shared" si="5"/>
        <v>m</v>
      </c>
      <c r="AU6" s="10" t="str">
        <f t="shared" si="5"/>
        <v>j</v>
      </c>
      <c r="AV6" s="10" t="str">
        <f t="shared" si="5"/>
        <v>v</v>
      </c>
      <c r="AW6" s="10" t="str">
        <f t="shared" si="5"/>
        <v>s</v>
      </c>
      <c r="AX6" s="10" t="str">
        <f t="shared" si="5"/>
        <v>d</v>
      </c>
      <c r="AY6" s="10" t="str">
        <f t="shared" si="5"/>
        <v>l</v>
      </c>
      <c r="AZ6" s="10" t="str">
        <f t="shared" si="5"/>
        <v>m</v>
      </c>
      <c r="BA6" s="10" t="str">
        <f t="shared" si="5"/>
        <v>m</v>
      </c>
      <c r="BB6" s="10" t="str">
        <f t="shared" si="5"/>
        <v>j</v>
      </c>
      <c r="BC6" s="10" t="str">
        <f t="shared" si="5"/>
        <v>v</v>
      </c>
      <c r="BD6" s="10" t="str">
        <f t="shared" si="5"/>
        <v>s</v>
      </c>
      <c r="BE6" s="10" t="str">
        <f t="shared" si="5"/>
        <v>d</v>
      </c>
      <c r="BF6" s="10" t="str">
        <f t="shared" si="5"/>
        <v>l</v>
      </c>
      <c r="BG6" s="10" t="str">
        <f t="shared" si="5"/>
        <v>m</v>
      </c>
      <c r="BH6" s="10" t="str">
        <f t="shared" si="5"/>
        <v>m</v>
      </c>
      <c r="BI6" s="10" t="str">
        <f t="shared" si="5"/>
        <v>j</v>
      </c>
      <c r="BJ6" s="10" t="str">
        <f t="shared" si="5"/>
        <v>v</v>
      </c>
      <c r="BK6" s="10" t="str">
        <f t="shared" si="5"/>
        <v>s</v>
      </c>
      <c r="BL6" s="10" t="str">
        <f t="shared" si="5"/>
        <v>d</v>
      </c>
    </row>
    <row r="7" spans="1:64" ht="30" hidden="1" customHeight="1" thickBot="1" x14ac:dyDescent="0.3">
      <c r="A7" s="45" t="s">
        <v>6</v>
      </c>
      <c r="C7" s="48"/>
      <c r="E7"/>
      <c r="H7"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3">
      <c r="A8" s="46" t="s">
        <v>7</v>
      </c>
      <c r="B8" s="15" t="s">
        <v>47</v>
      </c>
      <c r="C8" s="52"/>
      <c r="D8" s="16"/>
      <c r="E8" s="70"/>
      <c r="F8" s="71"/>
      <c r="G8" s="14"/>
      <c r="H8" s="14" t="str">
        <f t="shared" ref="H8:H33" si="6">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3">
      <c r="A9" s="46" t="s">
        <v>8</v>
      </c>
      <c r="B9" s="61" t="s">
        <v>48</v>
      </c>
      <c r="C9" s="53">
        <v>10</v>
      </c>
      <c r="D9" s="17">
        <v>1</v>
      </c>
      <c r="E9" s="84">
        <v>45894</v>
      </c>
      <c r="F9" s="84">
        <v>45905</v>
      </c>
      <c r="G9" s="14"/>
      <c r="H9" s="14">
        <f t="shared" si="6"/>
        <v>12</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3">
      <c r="A10" s="46" t="s">
        <v>9</v>
      </c>
      <c r="B10" s="61" t="s">
        <v>49</v>
      </c>
      <c r="C10" s="53">
        <v>5</v>
      </c>
      <c r="D10" s="17">
        <v>1</v>
      </c>
      <c r="E10" s="84">
        <v>45908</v>
      </c>
      <c r="F10" s="84">
        <v>45912</v>
      </c>
      <c r="G10" s="14"/>
      <c r="H10" s="14">
        <f t="shared" si="6"/>
        <v>5</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hidden="1" customHeight="1" thickBot="1" x14ac:dyDescent="0.3">
      <c r="A11" s="45"/>
      <c r="B11" s="61">
        <v>0</v>
      </c>
      <c r="C11" s="53"/>
      <c r="D11" s="17">
        <v>0.5</v>
      </c>
      <c r="E11" s="84">
        <v>0</v>
      </c>
      <c r="F11" s="84">
        <v>0</v>
      </c>
      <c r="G11" s="14"/>
      <c r="H11" s="14">
        <f t="shared" si="6"/>
        <v>1</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hidden="1" customHeight="1" thickBot="1" x14ac:dyDescent="0.3">
      <c r="A12" s="45"/>
      <c r="B12" s="61">
        <v>0</v>
      </c>
      <c r="C12" s="53"/>
      <c r="D12" s="17">
        <v>0.25</v>
      </c>
      <c r="E12" s="84">
        <v>0</v>
      </c>
      <c r="F12" s="84">
        <v>0</v>
      </c>
      <c r="G12" s="14"/>
      <c r="H12" s="14">
        <f t="shared" si="6"/>
        <v>1</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hidden="1" customHeight="1" thickBot="1" x14ac:dyDescent="0.3">
      <c r="A13" s="45"/>
      <c r="B13" s="61">
        <v>0</v>
      </c>
      <c r="C13" s="53"/>
      <c r="D13" s="17"/>
      <c r="E13" s="84">
        <v>0</v>
      </c>
      <c r="F13" s="84">
        <v>0</v>
      </c>
      <c r="G13" s="14"/>
      <c r="H13" s="14">
        <f t="shared" si="6"/>
        <v>1</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x14ac:dyDescent="0.3">
      <c r="A14" s="46" t="s">
        <v>10</v>
      </c>
      <c r="B14" s="18" t="s">
        <v>53</v>
      </c>
      <c r="C14" s="54"/>
      <c r="D14" s="19"/>
      <c r="E14" s="72"/>
      <c r="F14" s="73"/>
      <c r="G14" s="14"/>
      <c r="H14" s="14" t="str">
        <f t="shared" si="6"/>
        <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3">
      <c r="A15" s="46"/>
      <c r="B15" s="62" t="s">
        <v>50</v>
      </c>
      <c r="C15" s="55">
        <v>10</v>
      </c>
      <c r="D15" s="20">
        <v>1</v>
      </c>
      <c r="E15" s="85">
        <v>45915</v>
      </c>
      <c r="F15" s="85">
        <v>45926</v>
      </c>
      <c r="G15" s="14"/>
      <c r="H15" s="14">
        <f t="shared" si="6"/>
        <v>12</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3">
      <c r="A16" s="45"/>
      <c r="B16" s="62" t="s">
        <v>51</v>
      </c>
      <c r="C16" s="55">
        <v>3</v>
      </c>
      <c r="D16" s="20">
        <v>1</v>
      </c>
      <c r="E16" s="85">
        <v>45929</v>
      </c>
      <c r="F16" s="85">
        <v>45931</v>
      </c>
      <c r="G16" s="14"/>
      <c r="H16" s="14">
        <f t="shared" si="6"/>
        <v>3</v>
      </c>
      <c r="I16" s="31"/>
      <c r="J16" s="31"/>
      <c r="K16" s="31"/>
      <c r="L16" s="31"/>
      <c r="M16" s="31"/>
      <c r="N16" s="31"/>
      <c r="O16" s="31"/>
      <c r="P16" s="31"/>
      <c r="Q16" s="31"/>
      <c r="R16" s="31"/>
      <c r="S16" s="31"/>
      <c r="T16" s="31"/>
      <c r="U16" s="32"/>
      <c r="V16" s="32"/>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3">
      <c r="A17" s="45"/>
      <c r="B17" s="62" t="s">
        <v>52</v>
      </c>
      <c r="C17" s="55">
        <v>2</v>
      </c>
      <c r="D17" s="20">
        <v>1</v>
      </c>
      <c r="E17" s="85">
        <f>F16</f>
        <v>45931</v>
      </c>
      <c r="F17" s="85">
        <v>45932</v>
      </c>
      <c r="G17" s="14"/>
      <c r="H17" s="14">
        <f t="shared" si="6"/>
        <v>2</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3">
      <c r="A18" s="45"/>
      <c r="B18" s="62" t="s">
        <v>54</v>
      </c>
      <c r="C18" s="55">
        <v>7</v>
      </c>
      <c r="D18" s="20">
        <v>1</v>
      </c>
      <c r="E18" s="85">
        <v>45932</v>
      </c>
      <c r="F18" s="85">
        <v>45940</v>
      </c>
      <c r="G18" s="14"/>
      <c r="H18" s="14">
        <f t="shared" si="6"/>
        <v>9</v>
      </c>
      <c r="I18" s="31"/>
      <c r="J18" s="31"/>
      <c r="K18" s="31"/>
      <c r="L18" s="31"/>
      <c r="M18" s="31"/>
      <c r="N18" s="31"/>
      <c r="O18" s="31"/>
      <c r="P18" s="31"/>
      <c r="Q18" s="31"/>
      <c r="R18" s="31"/>
      <c r="S18" s="31"/>
      <c r="T18" s="31"/>
      <c r="U18" s="31"/>
      <c r="V18" s="31"/>
      <c r="W18" s="31"/>
      <c r="X18" s="31"/>
      <c r="Y18" s="32"/>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3">
      <c r="A19" s="45"/>
      <c r="B19" s="62" t="s">
        <v>55</v>
      </c>
      <c r="C19" s="55">
        <v>15</v>
      </c>
      <c r="D19" s="20">
        <v>1</v>
      </c>
      <c r="E19" s="85">
        <v>45943</v>
      </c>
      <c r="F19" s="85">
        <v>45954</v>
      </c>
      <c r="G19" s="14"/>
      <c r="H19" s="14">
        <f t="shared" si="6"/>
        <v>12</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3">
      <c r="A20" s="45" t="s">
        <v>11</v>
      </c>
      <c r="B20" s="21" t="s">
        <v>56</v>
      </c>
      <c r="C20" s="56"/>
      <c r="D20" s="22"/>
      <c r="E20" s="74"/>
      <c r="F20" s="75"/>
      <c r="G20" s="14"/>
      <c r="H20" s="14" t="str">
        <f t="shared" si="6"/>
        <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3">
      <c r="A21" s="45"/>
      <c r="B21" s="63" t="s">
        <v>57</v>
      </c>
      <c r="C21" s="57">
        <v>3</v>
      </c>
      <c r="D21" s="23">
        <v>1</v>
      </c>
      <c r="E21" s="76">
        <v>45957</v>
      </c>
      <c r="F21" s="76">
        <v>45959</v>
      </c>
      <c r="G21" s="14"/>
      <c r="H21" s="14">
        <f t="shared" si="6"/>
        <v>3</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3">
      <c r="A22" s="45"/>
      <c r="B22" s="63" t="s">
        <v>59</v>
      </c>
      <c r="C22" s="57">
        <v>4</v>
      </c>
      <c r="D22" s="23">
        <v>1</v>
      </c>
      <c r="E22" s="76">
        <f>F21+1</f>
        <v>45960</v>
      </c>
      <c r="F22" s="76">
        <f>E22+4</f>
        <v>45964</v>
      </c>
      <c r="G22" s="14"/>
      <c r="H22" s="14">
        <f t="shared" si="6"/>
        <v>5</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3">
      <c r="A23" s="45"/>
      <c r="B23" s="63" t="s">
        <v>60</v>
      </c>
      <c r="C23" s="57">
        <v>4</v>
      </c>
      <c r="D23" s="23">
        <v>1</v>
      </c>
      <c r="E23" s="76">
        <v>45989</v>
      </c>
      <c r="F23" s="76">
        <f>E23+5</f>
        <v>45994</v>
      </c>
      <c r="G23" s="14"/>
      <c r="H23" s="14">
        <f t="shared" si="6"/>
        <v>6</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hidden="1" customHeight="1" thickBot="1" x14ac:dyDescent="0.3">
      <c r="A24" s="45"/>
      <c r="B24" s="63" t="s">
        <v>21</v>
      </c>
      <c r="C24" s="57"/>
      <c r="D24" s="23"/>
      <c r="E24" s="76">
        <f>F23+1</f>
        <v>45995</v>
      </c>
      <c r="F24" s="76">
        <f>E24+4</f>
        <v>45999</v>
      </c>
      <c r="G24" s="14"/>
      <c r="H24" s="14">
        <f t="shared" si="6"/>
        <v>5</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hidden="1" customHeight="1" thickBot="1" x14ac:dyDescent="0.3">
      <c r="A25" s="45"/>
      <c r="B25" s="63" t="s">
        <v>22</v>
      </c>
      <c r="C25" s="57"/>
      <c r="D25" s="23"/>
      <c r="E25" s="76">
        <f>E23</f>
        <v>45989</v>
      </c>
      <c r="F25" s="76">
        <f>E25+4</f>
        <v>45993</v>
      </c>
      <c r="G25" s="14"/>
      <c r="H25" s="14">
        <f t="shared" si="6"/>
        <v>5</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hidden="1" customHeight="1" thickBot="1" x14ac:dyDescent="0.3">
      <c r="A26" s="45" t="s">
        <v>11</v>
      </c>
      <c r="B26" s="24" t="s">
        <v>23</v>
      </c>
      <c r="C26" s="58"/>
      <c r="D26" s="25"/>
      <c r="E26" s="77"/>
      <c r="F26" s="78"/>
      <c r="G26" s="14"/>
      <c r="H26" s="14" t="str">
        <f t="shared" si="6"/>
        <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hidden="1" customHeight="1" thickBot="1" x14ac:dyDescent="0.3">
      <c r="A27" s="45"/>
      <c r="B27" s="64" t="s">
        <v>18</v>
      </c>
      <c r="C27" s="59"/>
      <c r="D27" s="26"/>
      <c r="E27" s="86" t="s">
        <v>29</v>
      </c>
      <c r="F27" s="86" t="s">
        <v>29</v>
      </c>
      <c r="G27" s="14"/>
      <c r="H27" s="14" t="e">
        <f t="shared" si="6"/>
        <v>#VALUE!</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hidden="1" customHeight="1" thickBot="1" x14ac:dyDescent="0.3">
      <c r="A28" s="45"/>
      <c r="B28" s="64" t="s">
        <v>19</v>
      </c>
      <c r="C28" s="59"/>
      <c r="D28" s="26"/>
      <c r="E28" s="86" t="s">
        <v>29</v>
      </c>
      <c r="F28" s="86" t="s">
        <v>29</v>
      </c>
      <c r="G28" s="14"/>
      <c r="H28" s="14" t="e">
        <f t="shared" si="6"/>
        <v>#VALUE!</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hidden="1" customHeight="1" thickBot="1" x14ac:dyDescent="0.3">
      <c r="A29" s="45"/>
      <c r="B29" s="64" t="s">
        <v>20</v>
      </c>
      <c r="C29" s="59"/>
      <c r="D29" s="26"/>
      <c r="E29" s="86" t="s">
        <v>29</v>
      </c>
      <c r="F29" s="86" t="s">
        <v>29</v>
      </c>
      <c r="G29" s="14"/>
      <c r="H29" s="14" t="e">
        <f t="shared" si="6"/>
        <v>#VALUE!</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hidden="1" customHeight="1" thickBot="1" x14ac:dyDescent="0.3">
      <c r="A30" s="45"/>
      <c r="B30" s="64" t="s">
        <v>21</v>
      </c>
      <c r="C30" s="59"/>
      <c r="D30" s="26"/>
      <c r="E30" s="86" t="s">
        <v>29</v>
      </c>
      <c r="F30" s="86" t="s">
        <v>29</v>
      </c>
      <c r="G30" s="14"/>
      <c r="H30" s="14" t="e">
        <f t="shared" si="6"/>
        <v>#VALUE!</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hidden="1" customHeight="1" thickBot="1" x14ac:dyDescent="0.3">
      <c r="A31" s="45"/>
      <c r="B31" s="64" t="s">
        <v>22</v>
      </c>
      <c r="C31" s="59"/>
      <c r="D31" s="26"/>
      <c r="E31" s="86" t="s">
        <v>29</v>
      </c>
      <c r="F31" s="86" t="s">
        <v>29</v>
      </c>
      <c r="G31" s="14"/>
      <c r="H31" s="14" t="e">
        <f t="shared" si="6"/>
        <v>#VALUE!</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hidden="1" customHeight="1" thickBot="1" x14ac:dyDescent="0.3">
      <c r="A32" s="45" t="s">
        <v>12</v>
      </c>
      <c r="B32" s="65"/>
      <c r="C32" s="60"/>
      <c r="D32" s="13"/>
      <c r="E32" s="87"/>
      <c r="F32" s="87"/>
      <c r="G32" s="14"/>
      <c r="H32" s="14" t="str">
        <f t="shared" si="6"/>
        <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hidden="1" customHeight="1" thickBot="1" x14ac:dyDescent="0.3">
      <c r="A33" s="46" t="s">
        <v>13</v>
      </c>
      <c r="B33" s="27" t="s">
        <v>24</v>
      </c>
      <c r="C33" s="28"/>
      <c r="D33" s="29"/>
      <c r="E33" s="79"/>
      <c r="F33" s="80"/>
      <c r="G33" s="30"/>
      <c r="H33" s="30" t="str">
        <f t="shared" si="6"/>
        <v/>
      </c>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row>
    <row r="34" spans="1:64" ht="30" customHeight="1" x14ac:dyDescent="0.25">
      <c r="G34" s="6"/>
    </row>
    <row r="35" spans="1:64" ht="30" customHeight="1" x14ac:dyDescent="0.25">
      <c r="C35" s="11"/>
      <c r="F35" s="47"/>
    </row>
    <row r="36" spans="1:64" ht="30" customHeight="1" x14ac:dyDescent="0.25">
      <c r="C36" s="12"/>
    </row>
  </sheetData>
  <mergeCells count="11">
    <mergeCell ref="BF4:BL4"/>
    <mergeCell ref="E3:F3"/>
    <mergeCell ref="I4:O4"/>
    <mergeCell ref="P4:V4"/>
    <mergeCell ref="W4:AC4"/>
    <mergeCell ref="AD4:AJ4"/>
    <mergeCell ref="C3:D3"/>
    <mergeCell ref="C4:D4"/>
    <mergeCell ref="AK4:AQ4"/>
    <mergeCell ref="AR4:AX4"/>
    <mergeCell ref="AY4:BE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0" fitToHeight="0" orientation="landscape" r:id="rId3"/>
  <headerFooter differentFirst="1" scaleWithDoc="0">
    <oddFooter>Page &amp;P of &amp;N</oddFooter>
  </headerFooter>
  <ignoredErrors>
    <ignoredError sqref="F22:F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40625" defaultRowHeight="12.75" x14ac:dyDescent="0.2"/>
  <cols>
    <col min="1" max="1" width="87.140625" style="35" customWidth="1"/>
    <col min="2" max="16384" width="9.140625" style="2"/>
  </cols>
  <sheetData>
    <row r="1" spans="1:2" ht="46.5" customHeight="1" x14ac:dyDescent="0.2"/>
    <row r="2" spans="1:2" s="37" customFormat="1" ht="15.75" x14ac:dyDescent="0.25">
      <c r="A2" s="36" t="s">
        <v>32</v>
      </c>
      <c r="B2" s="36"/>
    </row>
    <row r="3" spans="1:2" s="41" customFormat="1" ht="27" customHeight="1" x14ac:dyDescent="0.25">
      <c r="A3" s="69" t="s">
        <v>33</v>
      </c>
      <c r="B3" s="42"/>
    </row>
    <row r="4" spans="1:2" s="38" customFormat="1" ht="26.25" x14ac:dyDescent="0.4">
      <c r="A4" s="39" t="s">
        <v>34</v>
      </c>
    </row>
    <row r="5" spans="1:2" ht="74.099999999999994" customHeight="1" x14ac:dyDescent="0.2">
      <c r="A5" s="40" t="s">
        <v>35</v>
      </c>
    </row>
    <row r="6" spans="1:2" ht="26.25" customHeight="1" x14ac:dyDescent="0.2">
      <c r="A6" s="39" t="s">
        <v>36</v>
      </c>
    </row>
    <row r="7" spans="1:2" s="35" customFormat="1" ht="215.25" customHeight="1" x14ac:dyDescent="0.25">
      <c r="A7" s="44" t="s">
        <v>37</v>
      </c>
    </row>
    <row r="8" spans="1:2" s="38" customFormat="1" ht="26.25" x14ac:dyDescent="0.4">
      <c r="A8" s="39" t="s">
        <v>38</v>
      </c>
    </row>
    <row r="9" spans="1:2" ht="75" x14ac:dyDescent="0.2">
      <c r="A9" s="40" t="s">
        <v>39</v>
      </c>
    </row>
    <row r="10" spans="1:2" s="35" customFormat="1" ht="27.95" customHeight="1" x14ac:dyDescent="0.25">
      <c r="A10" s="43" t="s">
        <v>40</v>
      </c>
    </row>
    <row r="11" spans="1:2" s="38" customFormat="1" ht="26.25" x14ac:dyDescent="0.4">
      <c r="A11" s="39" t="s">
        <v>41</v>
      </c>
    </row>
    <row r="12" spans="1:2" ht="30" x14ac:dyDescent="0.2">
      <c r="A12" s="40" t="s">
        <v>42</v>
      </c>
    </row>
    <row r="13" spans="1:2" s="35" customFormat="1" ht="27.95" customHeight="1" x14ac:dyDescent="0.25">
      <c r="A13" s="43" t="s">
        <v>43</v>
      </c>
    </row>
    <row r="14" spans="1:2" s="38" customFormat="1" ht="26.25" x14ac:dyDescent="0.4">
      <c r="A14" s="39" t="s">
        <v>44</v>
      </c>
    </row>
    <row r="15" spans="1:2" ht="96.75" customHeight="1" x14ac:dyDescent="0.2">
      <c r="A15" s="40" t="s">
        <v>45</v>
      </c>
    </row>
    <row r="16" spans="1:2" ht="90" x14ac:dyDescent="0.2">
      <c r="A16" s="40" t="s">
        <v>46</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ProjectSchedule</vt:lpstr>
      <vt:lpstr>Acerca de</vt:lpstr>
      <vt:lpstr>Inicio_del_proyecto</vt:lpstr>
      <vt:lpstr>Semana_para_mostrar</vt:lpstr>
      <vt:lpstr>ProjectSchedule!task_end</vt:lpstr>
      <vt:lpstr>ProjectSchedule!task_progress</vt:lpstr>
      <vt:lpstr>ProjectSchedule!task_start</vt:lpstr>
      <vt:lpstr>ProjectSchedule!Títulos_a_imprimir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2025-11-26T20:00:07Z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